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Détail tests" sheetId="4" state="visible" r:id="rId4"/>
    <sheet xmlns:r="http://schemas.openxmlformats.org/officeDocument/2006/relationships" name="Erreurs" sheetId="5" state="visible" r:id="rId5"/>
    <sheet xmlns:r="http://schemas.openxmlformats.org/officeDocument/2006/relationships" name="Fréquences" sheetId="6" state="visible" r:id="rId6"/>
    <sheet xmlns:r="http://schemas.openxmlformats.org/officeDocument/2006/relationships" name="Barè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1F3864"/>
      <sz val="14"/>
    </font>
    <font>
      <name val="Arial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F0D9"/>
      </patternFill>
    </fill>
    <fill>
      <patternFill patternType="solid">
        <fgColor rgb="00FBE5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2" fontId="3" fillId="3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Notes" displayName="TableNotes" ref="A1:I8" headerRowCount="1">
  <autoFilter ref="A1:I8"/>
  <tableColumns count="9">
    <tableColumn id="1" name="#"/>
    <tableColumn id="2" name="الملف"/>
    <tableColumn id="3" name="النقطة /20"/>
    <tableColumn id="4" name="التقدير"/>
    <tableColumn id="5" name="الجودة /6"/>
    <tableColumn id="6" name="النتائج /10"/>
    <tableColumn id="7" name="البنية /4"/>
    <tableColumn id="8" name="الاختبارات"/>
    <tableColumn id="9" name="Tests /9"/>
  </tableColumns>
  <tableStyleInfo name="TableStyleLight9" showRowStripes="1"/>
</table>
</file>

<file path=xl/tables/table2.xml><?xml version="1.0" encoding="utf-8"?>
<table xmlns="http://schemas.openxmlformats.org/spreadsheetml/2006/main" id="2" name="TableDetail" displayName="TableDetail" ref="A1:E21" headerRowCount="1">
  <autoFilter ref="A1:E21"/>
  <tableColumns count="5">
    <tableColumn id="1" name="الملف"/>
    <tableColumn id="2" name="الاختبارات"/>
    <tableColumn id="3" name="OK"/>
    <tableColumn id="4" name="المنتظَر"/>
    <tableColumn id="5" name="المحصَّل"/>
  </tableColumns>
  <tableStyleInfo name="TableStyleLight9" showRowStripes="1"/>
</table>
</file>

<file path=xl/tables/table3.xml><?xml version="1.0" encoding="utf-8"?>
<table xmlns="http://schemas.openxmlformats.org/spreadsheetml/2006/main" id="3" name="TableErreurs" displayName="TableErreurs" ref="A1:G10" headerRowCount="1">
  <autoFilter ref="A1:G10"/>
  <tableColumns count="7">
    <tableColumn id="1" name="الملف"/>
    <tableColumn id="2" name="السطر"/>
    <tableColumn id="3" name="Code"/>
    <tableColumn id="4" name="خطأ/تحذير"/>
    <tableColumn id="5" name="الملاحظة"/>
    <tableColumn id="6" name="السبب"/>
    <tableColumn id="7" name="التصحيح"/>
  </tableColumns>
  <tableStyleInfo name="TableStyleLight9" showRowStripes="1"/>
</table>
</file>

<file path=xl/tables/table4.xml><?xml version="1.0" encoding="utf-8"?>
<table xmlns="http://schemas.openxmlformats.org/spreadsheetml/2006/main" id="4" name="TableFreq" displayName="TableFreq" ref="A1:G7" headerRowCount="1">
  <autoFilter ref="A1:G7"/>
  <tableColumns count="7">
    <tableColumn id="1" name="Code"/>
    <tableColumn id="2" name="الملاحظة"/>
    <tableColumn id="3" name="Occurrences"/>
    <tableColumn id="4" name="Élèves concernés"/>
    <tableColumn id="5" name="% de la classe"/>
    <tableColumn id="6" name="Pénalité unitaire"/>
    <tableColumn id="7" name="Plafond"/>
  </tableColumns>
  <tableStyleInfo name="TableStyleLight9" showRowStripes="1"/>
</table>
</file>

<file path=xl/tables/table5.xml><?xml version="1.0" encoding="utf-8"?>
<table xmlns="http://schemas.openxmlformats.org/spreadsheetml/2006/main" id="5" name="TableBareme" displayName="TableBareme" ref="A1:D14" headerRowCount="1">
  <autoFilter ref="A1:D14"/>
  <tableColumns count="4">
    <tableColumn id="1" name="Code"/>
    <tableColumn id="2" name="الملاحظة"/>
    <tableColumn id="3" name="×الخصم"/>
    <tableColumn id="4" name="السقف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2" customWidth="1" min="3" max="3"/>
  </cols>
  <sheetData>
    <row r="1">
      <c r="A1" s="1" t="inlineStr">
        <is>
          <t>📊 صحّح ونقّط — تصحيح القسم</t>
        </is>
      </c>
    </row>
    <row r="3">
      <c r="A3" s="2" t="inlineStr">
        <is>
          <t>TP / الحلّ النموذجي</t>
        </is>
      </c>
      <c r="B3" s="3" t="inlineStr">
        <is>
          <t>solution.py</t>
        </is>
      </c>
    </row>
    <row r="4">
      <c r="A4" s="2" t="inlineStr">
        <is>
          <t>tests.json</t>
        </is>
      </c>
      <c r="B4" s="3" t="inlineStr">
        <is>
          <t>tests.json</t>
        </is>
      </c>
    </row>
    <row r="5">
      <c r="A5" s="2" t="inlineStr">
        <is>
          <t>المفسّر</t>
        </is>
      </c>
      <c r="B5" s="3" t="inlineStr">
        <is>
          <t>python.exe</t>
        </is>
      </c>
    </row>
    <row r="6">
      <c r="A6" s="2" t="inlineStr">
        <is>
          <t>Date</t>
        </is>
      </c>
      <c r="B6" s="3" t="inlineStr">
        <is>
          <t>06/09/2026 22:39</t>
        </is>
      </c>
    </row>
    <row r="7">
      <c r="A7" s="2" t="inlineStr">
        <is>
          <t>لغة الشرح</t>
        </is>
      </c>
      <c r="B7" s="3" t="inlineStr">
        <is>
          <t>العربية</t>
        </is>
      </c>
    </row>
    <row r="9">
      <c r="A9" s="1" t="inlineStr">
        <is>
          <t>المعدّل / ناجحون</t>
        </is>
      </c>
    </row>
    <row r="10">
      <c r="A10" s="2" t="inlineStr">
        <is>
          <t>Nombre de copies</t>
        </is>
      </c>
      <c r="B10" s="4">
        <f>COUNT(Notes!C2:C8)</f>
        <v/>
      </c>
    </row>
    <row r="11">
      <c r="A11" s="2" t="inlineStr">
        <is>
          <t>المعدّل /20</t>
        </is>
      </c>
      <c r="B11" s="5">
        <f>IFERROR(AVERAGE(Notes!C2:C8),0)</f>
        <v/>
      </c>
    </row>
    <row r="12">
      <c r="A12" s="2" t="inlineStr">
        <is>
          <t>Médiane</t>
        </is>
      </c>
      <c r="B12" s="5">
        <f>IFERROR(MEDIAN(Notes!C2:C8),0)</f>
        <v/>
      </c>
    </row>
    <row r="13">
      <c r="A13" s="2" t="inlineStr">
        <is>
          <t>Écart-type</t>
        </is>
      </c>
      <c r="B13" s="5">
        <f>IFERROR(STDEV(Notes!C2:C8),0)</f>
        <v/>
      </c>
    </row>
    <row r="14">
      <c r="A14" s="2" t="inlineStr">
        <is>
          <t>Note minimale</t>
        </is>
      </c>
      <c r="B14" s="5">
        <f>IFERROR(MIN(Notes!C2:C8),0)</f>
        <v/>
      </c>
    </row>
    <row r="15">
      <c r="A15" s="2" t="inlineStr">
        <is>
          <t>Note maximale</t>
        </is>
      </c>
      <c r="B15" s="5">
        <f>IFERROR(MAX(Notes!C2:C8),0)</f>
        <v/>
      </c>
    </row>
    <row r="16">
      <c r="A16" s="2" t="inlineStr">
        <is>
          <t>ناجحون (≥10)</t>
        </is>
      </c>
      <c r="B16" s="4">
        <f>COUNTIF(Notes!C2:C8,"&gt;=10")</f>
        <v/>
      </c>
    </row>
    <row r="17">
      <c r="A17" s="2" t="inlineStr">
        <is>
          <t>Taux de réussite</t>
        </is>
      </c>
      <c r="B17" s="6">
        <f>IFERROR(COUNTIF(Notes!C2:C8,"&gt;=10")/COUNT(Notes!C2:C8),0)</f>
        <v/>
      </c>
    </row>
    <row r="18">
      <c r="A18" s="2" t="inlineStr">
        <is>
          <t>(أ) جودة الكود (moy.)</t>
        </is>
      </c>
      <c r="B18" s="5">
        <f>IFERROR(AVERAGE(Notes!E2:E8),0)</f>
        <v/>
      </c>
    </row>
    <row r="19">
      <c r="A19" s="2" t="inlineStr">
        <is>
          <t>(ب) صحّة النتائج (moy.)</t>
        </is>
      </c>
      <c r="B19" s="5">
        <f>IFERROR(AVERAGE(Notes!F2:F8),0)</f>
        <v/>
      </c>
    </row>
    <row r="20">
      <c r="A20" s="2" t="inlineStr">
        <is>
          <t>(ج) المطابقة البنيوية (moy.)</t>
        </is>
      </c>
      <c r="B20" s="5">
        <f>IFERROR(AVERAGE(Notes!G2:G8),0)</f>
        <v/>
      </c>
    </row>
    <row r="22">
      <c r="A22" s="1" t="inlineStr">
        <is>
          <t>Répartition par tranche</t>
        </is>
      </c>
    </row>
    <row r="23">
      <c r="A23" s="7" t="inlineStr">
        <is>
          <t>Tranche</t>
        </is>
      </c>
      <c r="B23" s="7" t="inlineStr">
        <is>
          <t>Effectif</t>
        </is>
      </c>
    </row>
    <row r="24">
      <c r="A24" s="3" t="inlineStr">
        <is>
          <t>[16 – 20]</t>
        </is>
      </c>
      <c r="B24" s="8">
        <f>COUNTIFS(Notes!C2:C8,"&gt;=16",Notes!C2:C8,"&lt;=20")</f>
        <v/>
      </c>
    </row>
    <row r="25">
      <c r="A25" s="3" t="inlineStr">
        <is>
          <t>[14 – 16[</t>
        </is>
      </c>
      <c r="B25" s="8">
        <f>COUNTIFS(Notes!C2:C8,"&gt;=14",Notes!C2:C8,"&lt;16")</f>
        <v/>
      </c>
    </row>
    <row r="26">
      <c r="A26" s="3" t="inlineStr">
        <is>
          <t>[12 – 14[</t>
        </is>
      </c>
      <c r="B26" s="8">
        <f>COUNTIFS(Notes!C2:C8,"&gt;=12",Notes!C2:C8,"&lt;14")</f>
        <v/>
      </c>
    </row>
    <row r="27">
      <c r="A27" s="3" t="inlineStr">
        <is>
          <t>[10 – 12[</t>
        </is>
      </c>
      <c r="B27" s="8">
        <f>COUNTIFS(Notes!C2:C8,"&gt;=10",Notes!C2:C8,"&lt;12")</f>
        <v/>
      </c>
    </row>
    <row r="28">
      <c r="A28" s="3" t="inlineStr">
        <is>
          <t>[0 – 10[</t>
        </is>
      </c>
      <c r="B28" s="8">
        <f>COUNTIFS(Notes!C2:C8,"&gt;=0",Notes!C2:C8,"&lt;10")</f>
        <v/>
      </c>
    </row>
    <row r="29">
      <c r="A29" s="2" t="inlineStr">
        <is>
          <t>Total</t>
        </is>
      </c>
      <c r="B29" s="9">
        <f>SUM(B24:B28)</f>
        <v/>
      </c>
    </row>
    <row r="31">
      <c r="A31" s="10" t="inlineStr">
        <is>
          <t>Les cellules bleues de la feuille Notes peuvent être modifiées à la main : toutes les statistiques ci-dessus se recalculent.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1" customWidth="1" min="3" max="3"/>
    <col width="16" customWidth="1" min="4" max="4"/>
    <col width="11" customWidth="1" min="5" max="5"/>
    <col width="13" customWidth="1" min="6" max="6"/>
    <col width="12" customWidth="1" min="7" max="7"/>
    <col width="10" customWidth="1" min="8" max="8"/>
    <col width="10" customWidth="1" min="9" max="9"/>
  </cols>
  <sheetData>
    <row r="1">
      <c r="A1" s="11" t="inlineStr">
        <is>
          <t>#</t>
        </is>
      </c>
      <c r="B1" s="11" t="inlineStr">
        <is>
          <t>الملف</t>
        </is>
      </c>
      <c r="C1" s="11" t="inlineStr">
        <is>
          <t>النقطة /20</t>
        </is>
      </c>
      <c r="D1" s="11" t="inlineStr">
        <is>
          <t>التقدير</t>
        </is>
      </c>
      <c r="E1" s="11" t="inlineStr">
        <is>
          <t>الجودة /6</t>
        </is>
      </c>
      <c r="F1" s="11" t="inlineStr">
        <is>
          <t>النتائج /10</t>
        </is>
      </c>
      <c r="G1" s="11" t="inlineStr">
        <is>
          <t>البنية /4</t>
        </is>
      </c>
      <c r="H1" s="11" t="inlineStr">
        <is>
          <t>الاختبارات</t>
        </is>
      </c>
      <c r="I1" s="11" t="inlineStr">
        <is>
          <t>Tests /9</t>
        </is>
      </c>
    </row>
    <row r="2">
      <c r="A2" s="12" t="n">
        <v>1</v>
      </c>
      <c r="B2" s="13" t="inlineStr">
        <is>
          <t>04_amina.py</t>
        </is>
      </c>
      <c r="C2" s="14" t="n">
        <v>20</v>
      </c>
      <c r="D2" s="12" t="inlineStr">
        <is>
          <t>ممتاز</t>
        </is>
      </c>
      <c r="E2" s="12" t="n">
        <v>6</v>
      </c>
      <c r="F2" s="12" t="n">
        <v>10</v>
      </c>
      <c r="G2" s="12" t="n">
        <v>4</v>
      </c>
      <c r="H2" s="12" t="inlineStr">
        <is>
          <t>9/9</t>
        </is>
      </c>
      <c r="I2" s="12" t="n">
        <v>9</v>
      </c>
    </row>
    <row r="3">
      <c r="A3" s="12" t="n">
        <v>2</v>
      </c>
      <c r="B3" s="13" t="inlineStr">
        <is>
          <t>02_sarra.py</t>
        </is>
      </c>
      <c r="C3" s="14" t="n">
        <v>18.89</v>
      </c>
      <c r="D3" s="12" t="inlineStr">
        <is>
          <t>ممتاز</t>
        </is>
      </c>
      <c r="E3" s="12" t="n">
        <v>6</v>
      </c>
      <c r="F3" s="12" t="n">
        <v>8.890000000000001</v>
      </c>
      <c r="G3" s="12" t="n">
        <v>4</v>
      </c>
      <c r="H3" s="12" t="inlineStr">
        <is>
          <t>8/9</t>
        </is>
      </c>
      <c r="I3" s="12" t="n">
        <v>8</v>
      </c>
    </row>
    <row r="4">
      <c r="A4" s="12" t="n">
        <v>3</v>
      </c>
      <c r="B4" s="13" t="inlineStr">
        <is>
          <t>03_youssef.py</t>
        </is>
      </c>
      <c r="C4" s="14" t="n">
        <v>18.28</v>
      </c>
      <c r="D4" s="12" t="inlineStr">
        <is>
          <t>ممتاز</t>
        </is>
      </c>
      <c r="E4" s="12" t="n">
        <v>4.95</v>
      </c>
      <c r="F4" s="12" t="n">
        <v>10</v>
      </c>
      <c r="G4" s="12" t="n">
        <v>3.33</v>
      </c>
      <c r="H4" s="12" t="inlineStr">
        <is>
          <t>9/9</t>
        </is>
      </c>
      <c r="I4" s="12" t="n">
        <v>9</v>
      </c>
    </row>
    <row r="5">
      <c r="A5" s="12" t="n">
        <v>4</v>
      </c>
      <c r="B5" s="13" t="inlineStr">
        <is>
          <t>01_ahmed.py</t>
        </is>
      </c>
      <c r="C5" s="14" t="n">
        <v>16.27</v>
      </c>
      <c r="D5" s="12" t="inlineStr">
        <is>
          <t>جيد جدًا</t>
        </is>
      </c>
      <c r="E5" s="12" t="n">
        <v>4.05</v>
      </c>
      <c r="F5" s="12" t="n">
        <v>8.890000000000001</v>
      </c>
      <c r="G5" s="12" t="n">
        <v>3.33</v>
      </c>
      <c r="H5" s="12" t="inlineStr">
        <is>
          <t>8/9</t>
        </is>
      </c>
      <c r="I5" s="12" t="n">
        <v>8</v>
      </c>
    </row>
    <row r="6">
      <c r="A6" s="12" t="n">
        <v>5</v>
      </c>
      <c r="B6" s="13" t="inlineStr">
        <is>
          <t>07_omar.py</t>
        </is>
      </c>
      <c r="C6" s="14" t="n">
        <v>14.89</v>
      </c>
      <c r="D6" s="12" t="inlineStr">
        <is>
          <t>جيد</t>
        </is>
      </c>
      <c r="E6" s="12" t="n">
        <v>6</v>
      </c>
      <c r="F6" s="12" t="n">
        <v>5.56</v>
      </c>
      <c r="G6" s="12" t="n">
        <v>3.33</v>
      </c>
      <c r="H6" s="12" t="inlineStr">
        <is>
          <t>5/9</t>
        </is>
      </c>
      <c r="I6" s="12" t="n">
        <v>5</v>
      </c>
    </row>
    <row r="7">
      <c r="A7" s="12" t="n">
        <v>6</v>
      </c>
      <c r="B7" s="13" t="inlineStr">
        <is>
          <t>06_lina.py</t>
        </is>
      </c>
      <c r="C7" s="14" t="n">
        <v>14.44</v>
      </c>
      <c r="D7" s="12" t="inlineStr">
        <is>
          <t>جيد</t>
        </is>
      </c>
      <c r="E7" s="12" t="n">
        <v>6</v>
      </c>
      <c r="F7" s="12" t="n">
        <v>4.44</v>
      </c>
      <c r="G7" s="12" t="n">
        <v>4</v>
      </c>
      <c r="H7" s="12" t="inlineStr">
        <is>
          <t>4/9</t>
        </is>
      </c>
      <c r="I7" s="12" t="n">
        <v>4</v>
      </c>
    </row>
    <row r="8">
      <c r="A8" s="12" t="n">
        <v>7</v>
      </c>
      <c r="B8" s="13" t="inlineStr">
        <is>
          <t>05_karim.py</t>
        </is>
      </c>
      <c r="C8" s="15" t="n">
        <v>1.2</v>
      </c>
      <c r="D8" s="12" t="inlineStr">
        <is>
          <t>ضعيف</t>
        </is>
      </c>
      <c r="E8" s="12" t="n">
        <v>1.2</v>
      </c>
      <c r="F8" s="12" t="n">
        <v>0</v>
      </c>
      <c r="G8" s="12" t="n">
        <v>0</v>
      </c>
      <c r="H8" s="12" t="inlineStr">
        <is>
          <t>0/9</t>
        </is>
      </c>
      <c r="I8" s="1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9" customWidth="1" min="11" max="11"/>
  </cols>
  <sheetData>
    <row r="1">
      <c r="A1" s="11" t="inlineStr">
        <is>
          <t>الملف</t>
        </is>
      </c>
      <c r="B1" s="11" t="inlineStr">
        <is>
          <t>moyenne([12,15,9])</t>
        </is>
      </c>
      <c r="C1" s="11" t="inlineStr">
        <is>
          <t>moyenne([]) — liste vide</t>
        </is>
      </c>
      <c r="D1" s="11" t="inlineStr">
        <is>
          <t>moyenne([20]) — une seule note</t>
        </is>
      </c>
      <c r="E1" s="11" t="inlineStr">
        <is>
          <t>mention(17)</t>
        </is>
      </c>
      <c r="F1" s="11" t="inlineStr">
        <is>
          <t>mention(14) — borne exacte</t>
        </is>
      </c>
      <c r="G1" s="11" t="inlineStr">
        <is>
          <t>mention(9.5)</t>
        </is>
      </c>
      <c r="H1" s="11" t="inlineStr">
        <is>
          <t>admis([8,9], 10)</t>
        </is>
      </c>
      <c r="I1" s="11" t="inlineStr">
        <is>
          <t>admis([10,10], 10) — seuil exact</t>
        </is>
      </c>
      <c r="J1" s="11" t="inlineStr">
        <is>
          <t>admis([14,16], 10)</t>
        </is>
      </c>
      <c r="K1" s="11" t="inlineStr">
        <is>
          <t>Total</t>
        </is>
      </c>
    </row>
    <row r="2">
      <c r="A2" s="16" t="inlineStr">
        <is>
          <t>01_ahmed.py</t>
        </is>
      </c>
      <c r="B2" s="17" t="n">
        <v>1</v>
      </c>
      <c r="C2" s="18" t="n">
        <v>0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9">
        <f>SUM(B2:J2)</f>
        <v/>
      </c>
    </row>
    <row r="3">
      <c r="A3" s="16" t="inlineStr">
        <is>
          <t>02_sarra.py</t>
        </is>
      </c>
      <c r="B3" s="17" t="n">
        <v>1</v>
      </c>
      <c r="C3" s="17" t="n">
        <v>1</v>
      </c>
      <c r="D3" s="17" t="n">
        <v>1</v>
      </c>
      <c r="E3" s="17" t="n">
        <v>1</v>
      </c>
      <c r="F3" s="17" t="n">
        <v>1</v>
      </c>
      <c r="G3" s="17" t="n">
        <v>1</v>
      </c>
      <c r="H3" s="17" t="n">
        <v>1</v>
      </c>
      <c r="I3" s="18" t="n">
        <v>0</v>
      </c>
      <c r="J3" s="17" t="n">
        <v>1</v>
      </c>
      <c r="K3" s="9">
        <f>SUM(B3:J3)</f>
        <v/>
      </c>
    </row>
    <row r="4">
      <c r="A4" s="16" t="inlineStr">
        <is>
          <t>03_youssef.py</t>
        </is>
      </c>
      <c r="B4" s="17" t="n">
        <v>1</v>
      </c>
      <c r="C4" s="17" t="n">
        <v>1</v>
      </c>
      <c r="D4" s="17" t="n">
        <v>1</v>
      </c>
      <c r="E4" s="17" t="n">
        <v>1</v>
      </c>
      <c r="F4" s="17" t="n">
        <v>1</v>
      </c>
      <c r="G4" s="17" t="n">
        <v>1</v>
      </c>
      <c r="H4" s="17" t="n">
        <v>1</v>
      </c>
      <c r="I4" s="17" t="n">
        <v>1</v>
      </c>
      <c r="J4" s="17" t="n">
        <v>1</v>
      </c>
      <c r="K4" s="9">
        <f>SUM(B4:J4)</f>
        <v/>
      </c>
    </row>
    <row r="5">
      <c r="A5" s="16" t="inlineStr">
        <is>
          <t>04_amina.py</t>
        </is>
      </c>
      <c r="B5" s="17" t="n">
        <v>1</v>
      </c>
      <c r="C5" s="17" t="n">
        <v>1</v>
      </c>
      <c r="D5" s="17" t="n">
        <v>1</v>
      </c>
      <c r="E5" s="17" t="n">
        <v>1</v>
      </c>
      <c r="F5" s="17" t="n">
        <v>1</v>
      </c>
      <c r="G5" s="17" t="n">
        <v>1</v>
      </c>
      <c r="H5" s="17" t="n">
        <v>1</v>
      </c>
      <c r="I5" s="17" t="n">
        <v>1</v>
      </c>
      <c r="J5" s="17" t="n">
        <v>1</v>
      </c>
      <c r="K5" s="9">
        <f>SUM(B5:J5)</f>
        <v/>
      </c>
    </row>
    <row r="6">
      <c r="A6" s="16" t="inlineStr">
        <is>
          <t>05_karim.py</t>
        </is>
      </c>
      <c r="B6" s="18" t="n">
        <v>0</v>
      </c>
      <c r="C6" s="18" t="n">
        <v>0</v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0</v>
      </c>
      <c r="J6" s="18" t="n">
        <v>0</v>
      </c>
      <c r="K6" s="9">
        <f>SUM(B6:J6)</f>
        <v/>
      </c>
    </row>
    <row r="7">
      <c r="A7" s="16" t="inlineStr">
        <is>
          <t>06_lina.py</t>
        </is>
      </c>
      <c r="B7" s="18" t="n">
        <v>0</v>
      </c>
      <c r="C7" s="17" t="n">
        <v>1</v>
      </c>
      <c r="D7" s="18" t="n">
        <v>0</v>
      </c>
      <c r="E7" s="17" t="n">
        <v>1</v>
      </c>
      <c r="F7" s="17" t="n">
        <v>1</v>
      </c>
      <c r="G7" s="17" t="n">
        <v>1</v>
      </c>
      <c r="H7" s="18" t="n">
        <v>0</v>
      </c>
      <c r="I7" s="18" t="n">
        <v>0</v>
      </c>
      <c r="J7" s="18" t="n">
        <v>0</v>
      </c>
      <c r="K7" s="9">
        <f>SUM(B7:J7)</f>
        <v/>
      </c>
    </row>
    <row r="8">
      <c r="A8" s="16" t="inlineStr">
        <is>
          <t>07_omar.py</t>
        </is>
      </c>
      <c r="B8" s="17" t="n">
        <v>1</v>
      </c>
      <c r="C8" s="17" t="n">
        <v>1</v>
      </c>
      <c r="D8" s="17" t="n">
        <v>1</v>
      </c>
      <c r="E8" s="18" t="n">
        <v>0</v>
      </c>
      <c r="F8" s="17" t="n">
        <v>1</v>
      </c>
      <c r="G8" s="17" t="n">
        <v>1</v>
      </c>
      <c r="H8" s="18" t="n">
        <v>0</v>
      </c>
      <c r="I8" s="18" t="n">
        <v>0</v>
      </c>
      <c r="J8" s="18" t="n">
        <v>0</v>
      </c>
      <c r="K8" s="9">
        <f>SUM(B8:J8)</f>
        <v/>
      </c>
    </row>
    <row r="9">
      <c r="A9" s="2" t="inlineStr">
        <is>
          <t>Réussite par test</t>
        </is>
      </c>
      <c r="B9" s="19">
        <f>IFERROR(AVERAGE(B2:B8),0)</f>
        <v/>
      </c>
      <c r="C9" s="19">
        <f>IFERROR(AVERAGE(C2:C8),0)</f>
        <v/>
      </c>
      <c r="D9" s="19">
        <f>IFERROR(AVERAGE(D2:D8),0)</f>
        <v/>
      </c>
      <c r="E9" s="19">
        <f>IFERROR(AVERAGE(E2:E8),0)</f>
        <v/>
      </c>
      <c r="F9" s="19">
        <f>IFERROR(AVERAGE(F2:F8),0)</f>
        <v/>
      </c>
      <c r="G9" s="19">
        <f>IFERROR(AVERAGE(G2:G8),0)</f>
        <v/>
      </c>
      <c r="H9" s="19">
        <f>IFERROR(AVERAGE(H2:H8),0)</f>
        <v/>
      </c>
      <c r="I9" s="19">
        <f>IFERROR(AVERAGE(I2:I8),0)</f>
        <v/>
      </c>
      <c r="J9" s="19">
        <f>IFERROR(AVERAGE(J2:J8),0)</f>
        <v/>
      </c>
    </row>
    <row r="10">
      <c r="A10" s="10" t="inlineStr">
        <is>
          <t>1 = réussi · 0 = échoué — la ligne « Réussite par test » montre la question qui a posé problème à la classe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" customWidth="1" min="3" max="3"/>
    <col width="30" customWidth="1" min="4" max="4"/>
    <col width="46" customWidth="1" min="5" max="5"/>
  </cols>
  <sheetData>
    <row r="1">
      <c r="A1" s="11" t="inlineStr">
        <is>
          <t>الملف</t>
        </is>
      </c>
      <c r="B1" s="11" t="inlineStr">
        <is>
          <t>الاختبارات</t>
        </is>
      </c>
      <c r="C1" s="11" t="inlineStr">
        <is>
          <t>OK</t>
        </is>
      </c>
      <c r="D1" s="11" t="inlineStr">
        <is>
          <t>المنتظَر</t>
        </is>
      </c>
      <c r="E1" s="11" t="inlineStr">
        <is>
          <t>المحصَّل</t>
        </is>
      </c>
    </row>
    <row r="2">
      <c r="A2" s="13" t="inlineStr">
        <is>
          <t>01_ahmed.py</t>
        </is>
      </c>
      <c r="B2" s="13" t="inlineStr">
        <is>
          <t>moyenne([]) — liste vide</t>
        </is>
      </c>
      <c r="C2" s="12" t="inlineStr">
        <is>
          <t>✗</t>
        </is>
      </c>
      <c r="D2" s="13" t="inlineStr">
        <is>
          <t>0</t>
        </is>
      </c>
      <c r="E2" s="13" t="inlineStr">
        <is>
          <t>⛔ ZeroDivisionError: division by zero</t>
        </is>
      </c>
    </row>
    <row r="3">
      <c r="A3" s="13" t="inlineStr">
        <is>
          <t>02_sarra.py</t>
        </is>
      </c>
      <c r="B3" s="13" t="inlineStr">
        <is>
          <t>admis([10,10], 10) — seuil exact</t>
        </is>
      </c>
      <c r="C3" s="12" t="inlineStr">
        <is>
          <t>✗</t>
        </is>
      </c>
      <c r="D3" s="13" t="inlineStr">
        <is>
          <t>True</t>
        </is>
      </c>
      <c r="E3" s="13" t="inlineStr">
        <is>
          <t>False</t>
        </is>
      </c>
    </row>
    <row r="4">
      <c r="A4" s="13" t="inlineStr">
        <is>
          <t>05_karim.py</t>
        </is>
      </c>
      <c r="B4" s="13" t="inlineStr">
        <is>
          <t>moyenne([12,15,9])</t>
        </is>
      </c>
      <c r="C4" s="12" t="inlineStr">
        <is>
          <t>✗</t>
        </is>
      </c>
      <c r="D4" s="13" t="inlineStr">
        <is>
          <t>12.0</t>
        </is>
      </c>
      <c r="E4" s="13" t="inlineStr">
        <is>
          <t>⛔ SyntaxError: expected ':' (05_karim.py, line 1)</t>
        </is>
      </c>
    </row>
    <row r="5">
      <c r="A5" s="13" t="inlineStr">
        <is>
          <t>05_karim.py</t>
        </is>
      </c>
      <c r="B5" s="13" t="inlineStr">
        <is>
          <t>moyenne([]) — liste vide</t>
        </is>
      </c>
      <c r="C5" s="12" t="inlineStr">
        <is>
          <t>✗</t>
        </is>
      </c>
      <c r="D5" s="13" t="inlineStr">
        <is>
          <t>0</t>
        </is>
      </c>
      <c r="E5" s="13" t="inlineStr">
        <is>
          <t>⛔ SyntaxError: expected ':' (05_karim.py, line 1)</t>
        </is>
      </c>
    </row>
    <row r="6">
      <c r="A6" s="13" t="inlineStr">
        <is>
          <t>05_karim.py</t>
        </is>
      </c>
      <c r="B6" s="13" t="inlineStr">
        <is>
          <t>moyenne([20]) — une seule note</t>
        </is>
      </c>
      <c r="C6" s="12" t="inlineStr">
        <is>
          <t>✗</t>
        </is>
      </c>
      <c r="D6" s="13" t="inlineStr">
        <is>
          <t>20.0</t>
        </is>
      </c>
      <c r="E6" s="13" t="inlineStr">
        <is>
          <t>⛔ SyntaxError: expected ':' (05_karim.py, line 1)</t>
        </is>
      </c>
    </row>
    <row r="7">
      <c r="A7" s="13" t="inlineStr">
        <is>
          <t>05_karim.py</t>
        </is>
      </c>
      <c r="B7" s="13" t="inlineStr">
        <is>
          <t>mention(17)</t>
        </is>
      </c>
      <c r="C7" s="12" t="inlineStr">
        <is>
          <t>✗</t>
        </is>
      </c>
      <c r="D7" s="13" t="inlineStr">
        <is>
          <t>'Excellent'</t>
        </is>
      </c>
      <c r="E7" s="13" t="inlineStr">
        <is>
          <t>⛔ SyntaxError: expected ':' (05_karim.py, line 1)</t>
        </is>
      </c>
    </row>
    <row r="8">
      <c r="A8" s="13" t="inlineStr">
        <is>
          <t>05_karim.py</t>
        </is>
      </c>
      <c r="B8" s="13" t="inlineStr">
        <is>
          <t>mention(14) — borne exacte</t>
        </is>
      </c>
      <c r="C8" s="12" t="inlineStr">
        <is>
          <t>✗</t>
        </is>
      </c>
      <c r="D8" s="13" t="inlineStr">
        <is>
          <t>'Bien'</t>
        </is>
      </c>
      <c r="E8" s="13" t="inlineStr">
        <is>
          <t>⛔ SyntaxError: expected ':' (05_karim.py, line 1)</t>
        </is>
      </c>
    </row>
    <row r="9">
      <c r="A9" s="13" t="inlineStr">
        <is>
          <t>05_karim.py</t>
        </is>
      </c>
      <c r="B9" s="13" t="inlineStr">
        <is>
          <t>mention(9.5)</t>
        </is>
      </c>
      <c r="C9" s="12" t="inlineStr">
        <is>
          <t>✗</t>
        </is>
      </c>
      <c r="D9" s="13" t="inlineStr">
        <is>
          <t>'Insuffisant'</t>
        </is>
      </c>
      <c r="E9" s="13" t="inlineStr">
        <is>
          <t>⛔ SyntaxError: expected ':' (05_karim.py, line 1)</t>
        </is>
      </c>
    </row>
    <row r="10">
      <c r="A10" s="13" t="inlineStr">
        <is>
          <t>05_karim.py</t>
        </is>
      </c>
      <c r="B10" s="13" t="inlineStr">
        <is>
          <t>admis([8,9], 10)</t>
        </is>
      </c>
      <c r="C10" s="12" t="inlineStr">
        <is>
          <t>✗</t>
        </is>
      </c>
      <c r="D10" s="13" t="inlineStr">
        <is>
          <t>False</t>
        </is>
      </c>
      <c r="E10" s="13" t="inlineStr">
        <is>
          <t>⛔ SyntaxError: expected ':' (05_karim.py, line 1)</t>
        </is>
      </c>
    </row>
    <row r="11">
      <c r="A11" s="13" t="inlineStr">
        <is>
          <t>05_karim.py</t>
        </is>
      </c>
      <c r="B11" s="13" t="inlineStr">
        <is>
          <t>admis([10,10], 10) — seuil exact</t>
        </is>
      </c>
      <c r="C11" s="12" t="inlineStr">
        <is>
          <t>✗</t>
        </is>
      </c>
      <c r="D11" s="13" t="inlineStr">
        <is>
          <t>True</t>
        </is>
      </c>
      <c r="E11" s="13" t="inlineStr">
        <is>
          <t>⛔ SyntaxError: expected ':' (05_karim.py, line 1)</t>
        </is>
      </c>
    </row>
    <row r="12">
      <c r="A12" s="13" t="inlineStr">
        <is>
          <t>05_karim.py</t>
        </is>
      </c>
      <c r="B12" s="13" t="inlineStr">
        <is>
          <t>admis([14,16], 10)</t>
        </is>
      </c>
      <c r="C12" s="12" t="inlineStr">
        <is>
          <t>✗</t>
        </is>
      </c>
      <c r="D12" s="13" t="inlineStr">
        <is>
          <t>True</t>
        </is>
      </c>
      <c r="E12" s="13" t="inlineStr">
        <is>
          <t>⛔ SyntaxError: expected ':' (05_karim.py, line 1)</t>
        </is>
      </c>
    </row>
    <row r="13">
      <c r="A13" s="13" t="inlineStr">
        <is>
          <t>06_lina.py</t>
        </is>
      </c>
      <c r="B13" s="13" t="inlineStr">
        <is>
          <t>moyenne([12,15,9])</t>
        </is>
      </c>
      <c r="C13" s="12" t="inlineStr">
        <is>
          <t>✗</t>
        </is>
      </c>
      <c r="D13" s="13" t="inlineStr">
        <is>
          <t>12.0</t>
        </is>
      </c>
      <c r="E13" s="13" t="inlineStr">
        <is>
          <t>⛔ تجاوز المهلة (5ث) — حلقة لا نهائية؟</t>
        </is>
      </c>
    </row>
    <row r="14">
      <c r="A14" s="13" t="inlineStr">
        <is>
          <t>06_lina.py</t>
        </is>
      </c>
      <c r="B14" s="13" t="inlineStr">
        <is>
          <t>moyenne([20]) — une seule note</t>
        </is>
      </c>
      <c r="C14" s="12" t="inlineStr">
        <is>
          <t>✗</t>
        </is>
      </c>
      <c r="D14" s="13" t="inlineStr">
        <is>
          <t>20.0</t>
        </is>
      </c>
      <c r="E14" s="13" t="inlineStr">
        <is>
          <t>⛔ تجاوز المهلة (5ث) — حلقة لا نهائية؟</t>
        </is>
      </c>
    </row>
    <row r="15">
      <c r="A15" s="13" t="inlineStr">
        <is>
          <t>06_lina.py</t>
        </is>
      </c>
      <c r="B15" s="13" t="inlineStr">
        <is>
          <t>admis([8,9], 10)</t>
        </is>
      </c>
      <c r="C15" s="12" t="inlineStr">
        <is>
          <t>✗</t>
        </is>
      </c>
      <c r="D15" s="13" t="inlineStr">
        <is>
          <t>False</t>
        </is>
      </c>
      <c r="E15" s="13" t="inlineStr">
        <is>
          <t>⛔ تجاوز المهلة (5ث) — حلقة لا نهائية؟</t>
        </is>
      </c>
    </row>
    <row r="16">
      <c r="A16" s="13" t="inlineStr">
        <is>
          <t>06_lina.py</t>
        </is>
      </c>
      <c r="B16" s="13" t="inlineStr">
        <is>
          <t>admis([10,10], 10) — seuil exact</t>
        </is>
      </c>
      <c r="C16" s="12" t="inlineStr">
        <is>
          <t>✗</t>
        </is>
      </c>
      <c r="D16" s="13" t="inlineStr">
        <is>
          <t>True</t>
        </is>
      </c>
      <c r="E16" s="13" t="inlineStr">
        <is>
          <t>⛔ تجاوز المهلة (5ث) — حلقة لا نهائية؟</t>
        </is>
      </c>
    </row>
    <row r="17">
      <c r="A17" s="13" t="inlineStr">
        <is>
          <t>06_lina.py</t>
        </is>
      </c>
      <c r="B17" s="13" t="inlineStr">
        <is>
          <t>admis([14,16], 10)</t>
        </is>
      </c>
      <c r="C17" s="12" t="inlineStr">
        <is>
          <t>✗</t>
        </is>
      </c>
      <c r="D17" s="13" t="inlineStr">
        <is>
          <t>True</t>
        </is>
      </c>
      <c r="E17" s="13" t="inlineStr">
        <is>
          <t>⛔ تجاوز المهلة (5ث) — حلقة لا نهائية؟</t>
        </is>
      </c>
    </row>
    <row r="18">
      <c r="A18" s="13" t="inlineStr">
        <is>
          <t>07_omar.py</t>
        </is>
      </c>
      <c r="B18" s="13" t="inlineStr">
        <is>
          <t>mention(17)</t>
        </is>
      </c>
      <c r="C18" s="12" t="inlineStr">
        <is>
          <t>✗</t>
        </is>
      </c>
      <c r="D18" s="13" t="inlineStr">
        <is>
          <t>'Excellent'</t>
        </is>
      </c>
      <c r="E18" s="13" t="inlineStr">
        <is>
          <t>'Tres bien'</t>
        </is>
      </c>
    </row>
    <row r="19">
      <c r="A19" s="13" t="inlineStr">
        <is>
          <t>07_omar.py</t>
        </is>
      </c>
      <c r="B19" s="13" t="inlineStr">
        <is>
          <t>admis([8,9], 10)</t>
        </is>
      </c>
      <c r="C19" s="12" t="inlineStr">
        <is>
          <t>✗</t>
        </is>
      </c>
      <c r="D19" s="13" t="inlineStr">
        <is>
          <t>False</t>
        </is>
      </c>
      <c r="E19" s="13" t="inlineStr">
        <is>
          <t>⛔ TypeError: admis() takes 1 positional argument but 2 were given</t>
        </is>
      </c>
    </row>
    <row r="20">
      <c r="A20" s="13" t="inlineStr">
        <is>
          <t>07_omar.py</t>
        </is>
      </c>
      <c r="B20" s="13" t="inlineStr">
        <is>
          <t>admis([10,10], 10) — seuil exact</t>
        </is>
      </c>
      <c r="C20" s="12" t="inlineStr">
        <is>
          <t>✗</t>
        </is>
      </c>
      <c r="D20" s="13" t="inlineStr">
        <is>
          <t>True</t>
        </is>
      </c>
      <c r="E20" s="13" t="inlineStr">
        <is>
          <t>⛔ TypeError: admis() takes 1 positional argument but 2 were given</t>
        </is>
      </c>
    </row>
    <row r="21">
      <c r="A21" s="13" t="inlineStr">
        <is>
          <t>07_omar.py</t>
        </is>
      </c>
      <c r="B21" s="13" t="inlineStr">
        <is>
          <t>admis([14,16], 10)</t>
        </is>
      </c>
      <c r="C21" s="12" t="inlineStr">
        <is>
          <t>✗</t>
        </is>
      </c>
      <c r="D21" s="13" t="inlineStr">
        <is>
          <t>True</t>
        </is>
      </c>
      <c r="E21" s="13" t="inlineStr">
        <is>
          <t>⛔ TypeError: admis() takes 1 positional argument but 2 were given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3" customWidth="1" min="4" max="4"/>
    <col width="40" customWidth="1" min="5" max="5"/>
    <col width="56" customWidth="1" min="6" max="6"/>
    <col width="50" customWidth="1" min="7" max="7"/>
  </cols>
  <sheetData>
    <row r="1">
      <c r="A1" s="11" t="inlineStr">
        <is>
          <t>الملف</t>
        </is>
      </c>
      <c r="B1" s="11" t="inlineStr">
        <is>
          <t>السطر</t>
        </is>
      </c>
      <c r="C1" s="11" t="inlineStr">
        <is>
          <t>Code</t>
        </is>
      </c>
      <c r="D1" s="11" t="inlineStr">
        <is>
          <t>خطأ/تحذير</t>
        </is>
      </c>
      <c r="E1" s="11" t="inlineStr">
        <is>
          <t>الملاحظة</t>
        </is>
      </c>
      <c r="F1" s="11" t="inlineStr">
        <is>
          <t>السبب</t>
        </is>
      </c>
      <c r="G1" s="11" t="inlineStr">
        <is>
          <t>التصحيح</t>
        </is>
      </c>
    </row>
    <row r="2">
      <c r="A2" s="13" t="inlineStr">
        <is>
          <t>01_ahmed.py</t>
        </is>
      </c>
      <c r="B2" s="12" t="n">
        <v>1</v>
      </c>
      <c r="C2" s="12" t="inlineStr">
        <is>
          <t>W107</t>
        </is>
      </c>
      <c r="D2" s="20" t="inlineStr">
        <is>
          <t>تحذير</t>
        </is>
      </c>
      <c r="E2" s="13" t="inlineStr">
        <is>
          <t>استيراد غير مستعمل: 'os'</t>
        </is>
      </c>
      <c r="F2" s="13" t="inlineStr">
        <is>
          <t>يُثقل الملف ويُبطئ الإقلاع دون فائدة.</t>
        </is>
      </c>
      <c r="G2" s="13" t="inlineStr">
        <is>
          <t>احذف استيراد 'os' أو استعمله.</t>
        </is>
      </c>
    </row>
    <row r="3">
      <c r="A3" s="13" t="inlineStr">
        <is>
          <t>01_ahmed.py</t>
        </is>
      </c>
      <c r="B3" s="12" t="n">
        <v>2</v>
      </c>
      <c r="C3" s="12" t="inlineStr">
        <is>
          <t>W107</t>
        </is>
      </c>
      <c r="D3" s="20" t="inlineStr">
        <is>
          <t>تحذير</t>
        </is>
      </c>
      <c r="E3" s="13" t="inlineStr">
        <is>
          <t>استيراد غير مستعمل: 'math'</t>
        </is>
      </c>
      <c r="F3" s="13" t="inlineStr">
        <is>
          <t>يُثقل الملف ويُبطئ الإقلاع دون فائدة.</t>
        </is>
      </c>
      <c r="G3" s="13" t="inlineStr">
        <is>
          <t>احذف استيراد 'math' أو استعمله.</t>
        </is>
      </c>
    </row>
    <row r="4">
      <c r="A4" s="13" t="inlineStr">
        <is>
          <t>01_ahmed.py</t>
        </is>
      </c>
      <c r="B4" s="12" t="n">
        <v>8</v>
      </c>
      <c r="C4" s="12" t="inlineStr">
        <is>
          <t>W103</t>
        </is>
      </c>
      <c r="D4" s="20" t="inlineStr">
        <is>
          <t>تحذير</t>
        </is>
      </c>
      <c r="E4" s="13" t="inlineStr">
        <is>
          <t>مقارنة None بـ '=='</t>
        </is>
      </c>
      <c r="F4" s="13" t="inlineStr">
        <is>
          <t>None كائن وحيد، والمقارنة بالهوية أدقّ وأسرع ولا تتأثّر بإعادة تعريف __eq__.</t>
        </is>
      </c>
      <c r="G4" s="13" t="inlineStr">
        <is>
          <t>استعمل 'is None' بدل '== None'.</t>
        </is>
      </c>
    </row>
    <row r="5">
      <c r="A5" s="13" t="inlineStr">
        <is>
          <t>01_ahmed.py</t>
        </is>
      </c>
      <c r="B5" s="12" t="n">
        <v>15</v>
      </c>
      <c r="C5" s="12" t="inlineStr">
        <is>
          <t>E102</t>
        </is>
      </c>
      <c r="D5" s="21" t="inlineStr">
        <is>
          <t>خطأ</t>
        </is>
      </c>
      <c r="E5" s="13" t="inlineStr">
        <is>
          <t>وسيط افتراضي قابل للتغيير في الدالة 'admis'</t>
        </is>
      </c>
      <c r="F5" s="13" t="inlineStr">
        <is>
          <t>القيمة الافتراضية تُنشأ مرّة واحدة فقط، فتتراكم البيانات بين الاستدعاءات وتُنتج نتائج غير متوقّعة.</t>
        </is>
      </c>
      <c r="G5" s="13" t="inlineStr">
        <is>
          <t>استعمل None كقيمة افتراضية: def f(x=None): x = [] if x is None else x</t>
        </is>
      </c>
    </row>
    <row r="6">
      <c r="A6" s="13" t="inlineStr">
        <is>
          <t>01_ahmed.py</t>
        </is>
      </c>
      <c r="B6" s="12" t="n">
        <v>19</v>
      </c>
      <c r="C6" s="12" t="inlineStr">
        <is>
          <t>W101</t>
        </is>
      </c>
      <c r="D6" s="20" t="inlineStr">
        <is>
          <t>تحذير</t>
        </is>
      </c>
      <c r="E6" s="13" t="inlineStr">
        <is>
          <t>استعمال 'except:' بدون تحديد نوع الاستثناء</t>
        </is>
      </c>
      <c r="F6" s="13" t="inlineStr">
        <is>
          <t>يلتقط حتى KeyboardInterrupt و SystemExit ويُخفي الأخطاء الحقيقية.</t>
        </is>
      </c>
      <c r="G6" s="13" t="inlineStr">
        <is>
          <t>حدّد النوع، مثلاً: except Exception as e:</t>
        </is>
      </c>
    </row>
    <row r="7">
      <c r="A7" s="13" t="inlineStr">
        <is>
          <t>03_youssef.py</t>
        </is>
      </c>
      <c r="B7" s="12" t="n">
        <v>1</v>
      </c>
      <c r="C7" s="12" t="inlineStr">
        <is>
          <t>W107</t>
        </is>
      </c>
      <c r="D7" s="20" t="inlineStr">
        <is>
          <t>تحذير</t>
        </is>
      </c>
      <c r="E7" s="13" t="inlineStr">
        <is>
          <t>استيراد غير مستعمل: 'random'</t>
        </is>
      </c>
      <c r="F7" s="13" t="inlineStr">
        <is>
          <t>يُثقل الملف ويُبطئ الإقلاع دون فائدة.</t>
        </is>
      </c>
      <c r="G7" s="13" t="inlineStr">
        <is>
          <t>احذف استيراد 'random' أو استعمله.</t>
        </is>
      </c>
    </row>
    <row r="8">
      <c r="A8" s="13" t="inlineStr">
        <is>
          <t>03_youssef.py</t>
        </is>
      </c>
      <c r="B8" s="12" t="n">
        <v>21</v>
      </c>
      <c r="C8" s="12" t="inlineStr">
        <is>
          <t>E102</t>
        </is>
      </c>
      <c r="D8" s="21" t="inlineStr">
        <is>
          <t>خطأ</t>
        </is>
      </c>
      <c r="E8" s="13" t="inlineStr">
        <is>
          <t>وسيط افتراضي قابل للتغيير في الدالة 'admis'</t>
        </is>
      </c>
      <c r="F8" s="13" t="inlineStr">
        <is>
          <t>القيمة الافتراضية تُنشأ مرّة واحدة فقط، فتتراكم البيانات بين الاستدعاءات وتُنتج نتائج غير متوقّعة.</t>
        </is>
      </c>
      <c r="G8" s="13" t="inlineStr">
        <is>
          <t>استعمل None كقيمة افتراضية: def f(x=None): x = [] if x is None else x</t>
        </is>
      </c>
    </row>
    <row r="9">
      <c r="A9" s="13" t="inlineStr">
        <is>
          <t>05_karim.py</t>
        </is>
      </c>
      <c r="B9" s="12" t="n">
        <v>1</v>
      </c>
      <c r="C9" s="12" t="inlineStr">
        <is>
          <t>E001</t>
        </is>
      </c>
      <c r="D9" s="21" t="inlineStr">
        <is>
          <t>خطأ</t>
        </is>
      </c>
      <c r="E9" s="13" t="inlineStr">
        <is>
          <t>خطأ صياغة: expected ':'</t>
        </is>
      </c>
      <c r="F9" s="13" t="inlineStr">
        <is>
          <t>المترجم لم يستطع تحليل هذا السطر، لذا لا يعمل الملف كلّه.</t>
        </is>
      </c>
      <c r="G9" s="13" t="inlineStr">
        <is>
          <t>راجع الصياغة في هذا الموضع.</t>
        </is>
      </c>
    </row>
    <row r="10">
      <c r="A10" s="13" t="inlineStr">
        <is>
          <t>05_karim.py</t>
        </is>
      </c>
      <c r="B10" s="12" t="n">
        <v>1</v>
      </c>
      <c r="C10" s="12" t="inlineStr">
        <is>
          <t>E002</t>
        </is>
      </c>
      <c r="D10" s="21" t="inlineStr">
        <is>
          <t>خطأ</t>
        </is>
      </c>
      <c r="E10" s="13" t="inlineStr">
        <is>
          <t>خطأ ترجمة من المفسّر python.exe: SyntaxError: expected ':'</t>
        </is>
      </c>
      <c r="F10" s="13" t="inlineStr">
        <is>
          <t>المفسّر المستهدف نفسه رفض الملف؛ قد يكون بناءً غير مدعوم في هذه النسخة من بايثون (match، walrus، f-string متداخلة…).</t>
        </is>
      </c>
      <c r="G10" s="13" t="inlineStr">
        <is>
          <t>صحّح البناء أو استعمل نسخة بايثون أحدث.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3" customWidth="1" min="3" max="3"/>
    <col width="17" customWidth="1" min="4" max="4"/>
    <col width="15" customWidth="1" min="5" max="5"/>
    <col width="17" customWidth="1" min="6" max="6"/>
    <col width="10" customWidth="1" min="7" max="7"/>
  </cols>
  <sheetData>
    <row r="1">
      <c r="A1" s="11" t="inlineStr">
        <is>
          <t>Code</t>
        </is>
      </c>
      <c r="B1" s="11" t="inlineStr">
        <is>
          <t>الملاحظة</t>
        </is>
      </c>
      <c r="C1" s="11" t="inlineStr">
        <is>
          <t>Occurrences</t>
        </is>
      </c>
      <c r="D1" s="11" t="inlineStr">
        <is>
          <t>Élèves concernés</t>
        </is>
      </c>
      <c r="E1" s="11" t="inlineStr">
        <is>
          <t>% de la classe</t>
        </is>
      </c>
      <c r="F1" s="11" t="inlineStr">
        <is>
          <t>Pénalité unitaire</t>
        </is>
      </c>
      <c r="G1" s="11" t="inlineStr">
        <is>
          <t>Plafond</t>
        </is>
      </c>
    </row>
    <row r="2">
      <c r="A2" s="12" t="inlineStr">
        <is>
          <t>W107</t>
        </is>
      </c>
      <c r="B2" s="13" t="inlineStr">
        <is>
          <t>استيراد غير مستعمل</t>
        </is>
      </c>
      <c r="C2" s="12" t="n">
        <v>3</v>
      </c>
      <c r="D2" s="12" t="n">
        <v>2</v>
      </c>
      <c r="E2" s="22">
        <f>IFERROR(D2/7,0)</f>
        <v/>
      </c>
      <c r="F2" s="12" t="n">
        <v>0.5</v>
      </c>
      <c r="G2" s="12" t="n">
        <v>2</v>
      </c>
    </row>
    <row r="3">
      <c r="A3" s="12" t="inlineStr">
        <is>
          <t>E102</t>
        </is>
      </c>
      <c r="B3" s="13" t="inlineStr">
        <is>
          <t>وسيط افتراضي قابل للتغيير (liste=[])</t>
        </is>
      </c>
      <c r="C3" s="12" t="n">
        <v>2</v>
      </c>
      <c r="D3" s="12" t="n">
        <v>2</v>
      </c>
      <c r="E3" s="22">
        <f>IFERROR(D3/7,0)</f>
        <v/>
      </c>
      <c r="F3" s="12" t="n">
        <v>3</v>
      </c>
      <c r="G3" s="12" t="n">
        <v>6</v>
      </c>
    </row>
    <row r="4">
      <c r="A4" s="12" t="inlineStr">
        <is>
          <t>W103</t>
        </is>
      </c>
      <c r="B4" s="13" t="inlineStr">
        <is>
          <t>مقارنة None بـ == بدل is</t>
        </is>
      </c>
      <c r="C4" s="12" t="n">
        <v>1</v>
      </c>
      <c r="D4" s="12" t="n">
        <v>1</v>
      </c>
      <c r="E4" s="22">
        <f>IFERROR(D4/7,0)</f>
        <v/>
      </c>
      <c r="F4" s="12" t="n">
        <v>1</v>
      </c>
      <c r="G4" s="12" t="n">
        <v>3</v>
      </c>
    </row>
    <row r="5">
      <c r="A5" s="12" t="inlineStr">
        <is>
          <t>W101</t>
        </is>
      </c>
      <c r="B5" s="13" t="inlineStr">
        <is>
          <t>except: بدون تحديد نوع الاستثناء</t>
        </is>
      </c>
      <c r="C5" s="12" t="n">
        <v>1</v>
      </c>
      <c r="D5" s="12" t="n">
        <v>1</v>
      </c>
      <c r="E5" s="22">
        <f>IFERROR(D5/7,0)</f>
        <v/>
      </c>
      <c r="F5" s="12" t="n">
        <v>1.5</v>
      </c>
      <c r="G5" s="12" t="n">
        <v>4.5</v>
      </c>
    </row>
    <row r="6">
      <c r="A6" s="12" t="inlineStr">
        <is>
          <t>E001</t>
        </is>
      </c>
      <c r="B6" s="13" t="inlineStr">
        <is>
          <t>خطأ صياغة — الملف لا يعمل إطلاقًا</t>
        </is>
      </c>
      <c r="C6" s="12" t="n">
        <v>1</v>
      </c>
      <c r="D6" s="12" t="n">
        <v>1</v>
      </c>
      <c r="E6" s="22">
        <f>IFERROR(D6/7,0)</f>
        <v/>
      </c>
      <c r="F6" s="12" t="n">
        <v>8</v>
      </c>
      <c r="G6" s="12" t="n">
        <v>8</v>
      </c>
    </row>
    <row r="7">
      <c r="A7" s="12" t="inlineStr">
        <is>
          <t>E002</t>
        </is>
      </c>
      <c r="B7" s="13" t="inlineStr">
        <is>
          <t>رفضه المفسّر الحقيقي (py_compile)</t>
        </is>
      </c>
      <c r="C7" s="12" t="n">
        <v>1</v>
      </c>
      <c r="D7" s="12" t="n">
        <v>1</v>
      </c>
      <c r="E7" s="22">
        <f>IFERROR(D7/7,0)</f>
        <v/>
      </c>
      <c r="F7" s="12" t="n">
        <v>8</v>
      </c>
      <c r="G7" s="12" t="n">
        <v>8</v>
      </c>
    </row>
    <row r="9">
      <c r="A9" s="10" t="inlineStr">
        <is>
          <t>Trié par nombre d'élèves : la première ligne est la notion à réexpliquer.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4" customWidth="1" min="3" max="3"/>
    <col width="12" customWidth="1" min="4" max="4"/>
  </cols>
  <sheetData>
    <row r="1">
      <c r="A1" s="11" t="inlineStr">
        <is>
          <t>Code</t>
        </is>
      </c>
      <c r="B1" s="11" t="inlineStr">
        <is>
          <t>الملاحظة</t>
        </is>
      </c>
      <c r="C1" s="11" t="inlineStr">
        <is>
          <t>×الخصم</t>
        </is>
      </c>
      <c r="D1" s="11" t="inlineStr">
        <is>
          <t>السقف</t>
        </is>
      </c>
    </row>
    <row r="2">
      <c r="A2" s="12" t="inlineStr">
        <is>
          <t>E001</t>
        </is>
      </c>
      <c r="B2" s="13" t="inlineStr">
        <is>
          <t>خطأ صياغة — الملف لا يعمل إطلاقًا</t>
        </is>
      </c>
      <c r="C2" s="12" t="n">
        <v>8</v>
      </c>
      <c r="D2" s="12" t="n">
        <v>8</v>
      </c>
    </row>
    <row r="3">
      <c r="A3" s="12" t="inlineStr">
        <is>
          <t>E002</t>
        </is>
      </c>
      <c r="B3" s="13" t="inlineStr">
        <is>
          <t>رفضه المفسّر الحقيقي (py_compile)</t>
        </is>
      </c>
      <c r="C3" s="12" t="n">
        <v>8</v>
      </c>
      <c r="D3" s="12" t="n">
        <v>8</v>
      </c>
    </row>
    <row r="4">
      <c r="A4" s="12" t="inlineStr">
        <is>
          <t>E102</t>
        </is>
      </c>
      <c r="B4" s="13" t="inlineStr">
        <is>
          <t>وسيط افتراضي قابل للتغيير (liste=[])</t>
        </is>
      </c>
      <c r="C4" s="12" t="n">
        <v>3</v>
      </c>
      <c r="D4" s="12" t="n">
        <v>6</v>
      </c>
    </row>
    <row r="5">
      <c r="A5" s="12" t="inlineStr">
        <is>
          <t>E104</t>
        </is>
      </c>
      <c r="B5" s="13" t="inlineStr">
        <is>
          <t>قسمة على صفر</t>
        </is>
      </c>
      <c r="C5" s="12" t="n">
        <v>3</v>
      </c>
      <c r="D5" s="12" t="n">
        <v>6</v>
      </c>
    </row>
    <row r="6">
      <c r="A6" s="12" t="inlineStr">
        <is>
          <t>E108</t>
        </is>
      </c>
      <c r="B6" s="13" t="inlineStr">
        <is>
          <t>خلط Tab ومسافات في الإزاحة</t>
        </is>
      </c>
      <c r="C6" s="12" t="n">
        <v>2</v>
      </c>
      <c r="D6" s="12" t="n">
        <v>4</v>
      </c>
    </row>
    <row r="7">
      <c r="A7" s="12" t="inlineStr">
        <is>
          <t>W101</t>
        </is>
      </c>
      <c r="B7" s="13" t="inlineStr">
        <is>
          <t>except: بدون تحديد نوع الاستثناء</t>
        </is>
      </c>
      <c r="C7" s="12" t="n">
        <v>1.5</v>
      </c>
      <c r="D7" s="12" t="n">
        <v>4.5</v>
      </c>
    </row>
    <row r="8">
      <c r="A8" s="12" t="inlineStr">
        <is>
          <t>W110</t>
        </is>
      </c>
      <c r="B8" s="13" t="inlineStr">
        <is>
          <t>استثناء مُبتلَع بصمت (except…: pass)</t>
        </is>
      </c>
      <c r="C8" s="12" t="n">
        <v>1.5</v>
      </c>
      <c r="D8" s="12" t="n">
        <v>4.5</v>
      </c>
    </row>
    <row r="9">
      <c r="A9" s="12" t="inlineStr">
        <is>
          <t>W103</t>
        </is>
      </c>
      <c r="B9" s="13" t="inlineStr">
        <is>
          <t>مقارنة None بـ == بدل is</t>
        </is>
      </c>
      <c r="C9" s="12" t="n">
        <v>1</v>
      </c>
      <c r="D9" s="12" t="n">
        <v>3</v>
      </c>
    </row>
    <row r="10">
      <c r="A10" s="12" t="inlineStr">
        <is>
          <t>W105</t>
        </is>
      </c>
      <c r="B10" s="13" t="inlineStr">
        <is>
          <t>إسناد بلا أثر (x = x)</t>
        </is>
      </c>
      <c r="C10" s="12" t="n">
        <v>1</v>
      </c>
      <c r="D10" s="12" t="n">
        <v>3</v>
      </c>
    </row>
    <row r="11">
      <c r="A11" s="12" t="inlineStr">
        <is>
          <t>W106</t>
        </is>
      </c>
      <c r="B11" s="13" t="inlineStr">
        <is>
          <t>open() بدون with</t>
        </is>
      </c>
      <c r="C11" s="12" t="n">
        <v>1</v>
      </c>
      <c r="D11" s="12" t="n">
        <v>3</v>
      </c>
    </row>
    <row r="12">
      <c r="A12" s="12" t="inlineStr">
        <is>
          <t>W111</t>
        </is>
      </c>
      <c r="B12" s="13" t="inlineStr">
        <is>
          <t>تحذير صياغة من المفسّر (SyntaxWarning)</t>
        </is>
      </c>
      <c r="C12" s="12" t="n">
        <v>1</v>
      </c>
      <c r="D12" s="12" t="n">
        <v>3</v>
      </c>
    </row>
    <row r="13">
      <c r="A13" s="12" t="inlineStr">
        <is>
          <t>W107</t>
        </is>
      </c>
      <c r="B13" s="13" t="inlineStr">
        <is>
          <t>استيراد غير مستعمل</t>
        </is>
      </c>
      <c r="C13" s="12" t="n">
        <v>0.5</v>
      </c>
      <c r="D13" s="12" t="n">
        <v>2</v>
      </c>
    </row>
    <row r="14">
      <c r="A14" s="12" t="inlineStr">
        <is>
          <t>W109</t>
        </is>
      </c>
      <c r="B14" s="13" t="inlineStr">
        <is>
          <t>سطر أطول من 99 حرفًا</t>
        </is>
      </c>
      <c r="C14" s="12" t="n">
        <v>0.25</v>
      </c>
      <c r="D14" s="12" t="n">
        <v>2</v>
      </c>
    </row>
    <row r="16">
      <c r="A16" s="2" t="inlineStr">
        <is>
          <t>(أ) جودة الكود : 6 · (ب) صحّة النتائج : 10 · (ج) المطابقة البنيوية : 4 → 20</t>
        </is>
      </c>
    </row>
    <row r="17">
      <c r="A17" s="10" t="inlineStr">
        <is>
          <t>ملاحظة: لكل قاعدة سقف خصم حتى لا يُفسد خطأ متكرّر النقطة كلّها، والنقطة لا تنزل تحت 0.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2026-09-06T21:39:58Z</dcterms:created>
  <dcterms:modified xmlns:dcterms="http://purl.org/dc/terms/" xmlns:xsi="http://www.w3.org/2001/XMLSchema-instance" xsi:type="dcterms:W3CDTF">2026-09-06T21:39:58Z</dcterms:modified>
</cp:coreProperties>
</file>